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ristopherspringer\Documents\DataAnalytics\week-01\"/>
    </mc:Choice>
  </mc:AlternateContent>
  <xr:revisionPtr revIDLastSave="0" documentId="8_{37703940-EA9B-4730-8513-F156DAC3295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orms_results" sheetId="1" r:id="rId1"/>
    <sheet name="Pivot_Charts" sheetId="2" r:id="rId2"/>
  </sheets>
  <calcPr calcId="191028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7" i="1"/>
  <c r="G26" i="1"/>
  <c r="G25" i="1"/>
  <c r="D7" i="1"/>
  <c r="O23" i="1"/>
  <c r="P25" i="1"/>
  <c r="P26" i="1"/>
  <c r="P27" i="1"/>
  <c r="P28" i="1"/>
  <c r="P29" i="1"/>
  <c r="N31" i="1"/>
  <c r="N30" i="1"/>
  <c r="N29" i="1"/>
  <c r="N28" i="1"/>
  <c r="N27" i="1"/>
  <c r="N26" i="1"/>
  <c r="N25" i="1"/>
  <c r="J23" i="1"/>
  <c r="K23" i="1"/>
  <c r="L23" i="1"/>
  <c r="M23" i="1"/>
  <c r="I23" i="1"/>
  <c r="H23" i="1"/>
  <c r="D2" i="1"/>
  <c r="D3" i="1"/>
  <c r="D4" i="1"/>
  <c r="D5" i="1"/>
  <c r="D6" i="1"/>
  <c r="D23" i="1" l="1"/>
</calcChain>
</file>

<file path=xl/sharedStrings.xml><?xml version="1.0" encoding="utf-8"?>
<sst xmlns="http://schemas.openxmlformats.org/spreadsheetml/2006/main" count="112" uniqueCount="67">
  <si>
    <t>Id</t>
  </si>
  <si>
    <t>Start time</t>
  </si>
  <si>
    <t>Completion time</t>
  </si>
  <si>
    <t>Time to complete</t>
  </si>
  <si>
    <t>Email</t>
  </si>
  <si>
    <t>Name</t>
  </si>
  <si>
    <t>How often do you visit us?</t>
  </si>
  <si>
    <t>How satisfied are you with your experience today?</t>
  </si>
  <si>
    <t>How satisfied were you with the following?.Food quality</t>
  </si>
  <si>
    <t>How satisfied were you with the following?.Staff friendliness and helpfulness</t>
  </si>
  <si>
    <t>How satisfied were you with the following?.Cleanliness</t>
  </si>
  <si>
    <t>How satisfied were you with the following?.Speed of service</t>
  </si>
  <si>
    <t>How satisfied were you with the following?.Pricing</t>
  </si>
  <si>
    <t>Most important choice when choosing a restaurant?</t>
  </si>
  <si>
    <t>How likely are you to recommend this restaurant to a friend or family member?</t>
  </si>
  <si>
    <t>Which Loyalty Program would interest you? (Pick up to 3)</t>
  </si>
  <si>
    <t>Any feedback for us or anything we could do to improve your experience?</t>
  </si>
  <si>
    <t>gabidemi@my.yearupunited.org</t>
  </si>
  <si>
    <t>gbolahan abidemi</t>
  </si>
  <si>
    <t>First visit</t>
  </si>
  <si>
    <t>Dissatisfied</t>
  </si>
  <si>
    <t>Very Dissatisfied</t>
  </si>
  <si>
    <t>Pricing</t>
  </si>
  <si>
    <t>None, this place STINKS;</t>
  </si>
  <si>
    <t>Why were there flies hovering around my food!</t>
  </si>
  <si>
    <t>amrapshtija@my.yearupunited.org</t>
  </si>
  <si>
    <t>ardita mrapshtija</t>
  </si>
  <si>
    <t>Once a week</t>
  </si>
  <si>
    <t>Neutral</t>
  </si>
  <si>
    <t>Satisfied</t>
  </si>
  <si>
    <t>Food Quality</t>
  </si>
  <si>
    <t>Earning points towards free meals;Discounts on future purchases;</t>
  </si>
  <si>
    <t>ilee@my.yearupunited.org</t>
  </si>
  <si>
    <t>idasha lee</t>
  </si>
  <si>
    <t>Very Satisfied</t>
  </si>
  <si>
    <t>Birthday Rewards;Coupons or deals (BOGO);Discounts on future purchases;</t>
  </si>
  <si>
    <t>tstaana@my.yearupunited.org</t>
  </si>
  <si>
    <t>thania staana</t>
  </si>
  <si>
    <t>Occasionally</t>
  </si>
  <si>
    <t>Members-only promotions;Coupons or deals (BOGO);Earning points towards free meals;</t>
  </si>
  <si>
    <t>alewis3@my.yearupunited.org</t>
  </si>
  <si>
    <t>ajani lewis</t>
  </si>
  <si>
    <t>Earning points towards free meals;Coupons or deals (BOGO);Members-only promotions;</t>
  </si>
  <si>
    <t>dmendez1@my.yearupunited.org</t>
  </si>
  <si>
    <t>denae mendez</t>
  </si>
  <si>
    <t>Discounts on future purchases;Earning points towards free meals;Birthday Rewards</t>
  </si>
  <si>
    <t>Frequent Visitors</t>
  </si>
  <si>
    <t>Count of visitors</t>
  </si>
  <si>
    <t>Restaurant Choice Reason</t>
  </si>
  <si>
    <t>Number chosen</t>
  </si>
  <si>
    <t>Promo Deal</t>
  </si>
  <si>
    <t>How many chose</t>
  </si>
  <si>
    <t>Earning points towards free meals</t>
  </si>
  <si>
    <t>Birthday Rewards</t>
  </si>
  <si>
    <t>Several times a week</t>
  </si>
  <si>
    <t>Location</t>
  </si>
  <si>
    <t>Discounts</t>
  </si>
  <si>
    <t>Monthly</t>
  </si>
  <si>
    <t>Atmosphere</t>
  </si>
  <si>
    <t>Coupons or Deals</t>
  </si>
  <si>
    <t>Grade</t>
  </si>
  <si>
    <t>Members-only promos</t>
  </si>
  <si>
    <t>Type of Restaurant/Cuisine (Italian, Greek, etc.)</t>
  </si>
  <si>
    <t>Menu Options</t>
  </si>
  <si>
    <t>Count of Name</t>
  </si>
  <si>
    <t>Grand Total</t>
  </si>
  <si>
    <t>Sum of How many chose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</si>
</sst>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45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49" fontId="0" fillId="0" borderId="0" xfId="0" applyNumberFormat="1"/>
  </cellXfs>
  <cellStyles count="1">
    <cellStyle name="Normal" xfId="0" builtinId="0"/>
  </cellStyles>
  <dxfs count="17"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28" formatCode="mm:ss"/>
    </dxf>
    <dxf>
      <numFmt numFmtId="164" formatCode="mm/dd/yyyy\ hh:mm:ss"/>
    </dxf>
    <dxf>
      <numFmt numFmtId="164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Simpson Restaurant &amp; Bar.xlsx]Pivot_Charts!PivotTable1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Satisfaction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Pivot_Charts!$B$2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Pivot_Charts!$A$3:$A$7</c:f>
              <c:strCache>
                <c:ptCount val="4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3</c:v>
                </c:pt>
              </c:strCache>
            </c:strRef>
          </c:cat>
          <c:val>
            <c:numRef>
              <c:f>Pivot_Charts!$B$3:$B$7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E1-4FE4-8CF3-5D59A8CCC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axId val="146652167"/>
        <c:axId val="146662919"/>
      </c:barChart>
      <c:catAx>
        <c:axId val="146652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62919"/>
        <c:crosses val="autoZero"/>
        <c:auto val="1"/>
        <c:lblAlgn val="ctr"/>
        <c:lblOffset val="100"/>
        <c:noMultiLvlLbl val="0"/>
      </c:catAx>
      <c:valAx>
        <c:axId val="146662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52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Simpson Restaurant &amp; Bar.xlsx]Pivot_Charts!PivotTable2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Preferred Promo Deal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Pivot_Charts!$B$18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Pivot_Charts!$A$19:$A$24</c:f>
              <c:strCache>
                <c:ptCount val="5"/>
                <c:pt idx="0">
                  <c:v>Birthday Rewards</c:v>
                </c:pt>
                <c:pt idx="1">
                  <c:v>Coupons or Deals</c:v>
                </c:pt>
                <c:pt idx="2">
                  <c:v>Discounts</c:v>
                </c:pt>
                <c:pt idx="3">
                  <c:v>Earning points towards free meals</c:v>
                </c:pt>
                <c:pt idx="4">
                  <c:v>Members-only promos</c:v>
                </c:pt>
              </c:strCache>
            </c:strRef>
          </c:cat>
          <c:val>
            <c:numRef>
              <c:f>Pivot_Charts!$B$19:$B$24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2E-4188-91B2-56DDEB831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969424392"/>
        <c:axId val="11046919"/>
      </c:barChart>
      <c:catAx>
        <c:axId val="19694243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Promo Deal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919"/>
        <c:crosses val="autoZero"/>
        <c:auto val="1"/>
        <c:lblAlgn val="ctr"/>
        <c:lblOffset val="100"/>
        <c:noMultiLvlLbl val="0"/>
      </c:catAx>
      <c:valAx>
        <c:axId val="11046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How many chose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424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1</xdr:row>
      <xdr:rowOff>9525</xdr:rowOff>
    </xdr:from>
    <xdr:to>
      <xdr:col>3</xdr:col>
      <xdr:colOff>542925</xdr:colOff>
      <xdr:row>15</xdr:row>
      <xdr:rowOff>85725</xdr:rowOff>
    </xdr:to>
    <xdr:graphicFrame macro="">
      <xdr:nvGraphicFramePr>
        <xdr:cNvPr id="2" name="Chart 1" descr="Chart type: Clustered Bar. 'Name' by 'How satisfied are you with your experience today?'&#10;&#10;Description automatically generated">
          <a:extLst>
            <a:ext uri="{FF2B5EF4-FFF2-40B4-BE49-F238E27FC236}">
              <a16:creationId xmlns:a16="http://schemas.microsoft.com/office/drawing/2014/main" id="{E8587C62-DFE3-63A2-40ED-F951FCDEB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161925</xdr:colOff>
      <xdr:row>16</xdr:row>
      <xdr:rowOff>180975</xdr:rowOff>
    </xdr:from>
    <xdr:to>
      <xdr:col>3</xdr:col>
      <xdr:colOff>952500</xdr:colOff>
      <xdr:row>31</xdr:row>
      <xdr:rowOff>66675</xdr:rowOff>
    </xdr:to>
    <xdr:graphicFrame macro="">
      <xdr:nvGraphicFramePr>
        <xdr:cNvPr id="3" name="Chart 2" descr="Chart type: Clustered Bar. 'How many chose' by 'Promo Deal'&#10;&#10;Description automatically generated">
          <a:extLst>
            <a:ext uri="{FF2B5EF4-FFF2-40B4-BE49-F238E27FC236}">
              <a16:creationId xmlns:a16="http://schemas.microsoft.com/office/drawing/2014/main" id="{8E3B1386-153E-C7F1-293A-F93F658376FD}"/>
            </a:ext>
            <a:ext uri="{147F2762-F138-4A5C-976F-8EAC2B608ADB}">
              <a16:predDERef xmlns:a16="http://schemas.microsoft.com/office/drawing/2014/main" pred="{E8587C62-DFE3-63A2-40ED-F951FCDEB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2.464370949077" createdVersion="8" refreshedVersion="8" minRefreshableVersion="3" recordCount="6" xr:uid="{314E3899-F73A-4104-87A1-DA6341D65789}">
  <cacheSource type="worksheet">
    <worksheetSource name="OfficeForms.Table"/>
  </cacheSource>
  <cacheFields count="17">
    <cacheField name="Id" numFmtId="0">
      <sharedItems containsSemiMixedTypes="0" containsString="0" containsNumber="1" containsInteger="1" minValue="1" maxValue="6"/>
    </cacheField>
    <cacheField name="Start time" numFmtId="164">
      <sharedItems containsSemiMixedTypes="0" containsNonDate="0" containsDate="1" containsString="0" minDate="2026-10-14T20:52:24" maxDate="2026-10-16T16:32:30"/>
    </cacheField>
    <cacheField name="Completion time" numFmtId="164">
      <sharedItems containsSemiMixedTypes="0" containsNonDate="0" containsDate="1" containsString="0" minDate="2026-10-14T20:55:37" maxDate="2026-10-16T16:33:32"/>
    </cacheField>
    <cacheField name="Time to complete" numFmtId="45">
      <sharedItems containsSemiMixedTypes="0" containsNonDate="0" containsDate="1" containsString="0" minDate="1899-12-30T00:00:45" maxDate="1899-12-30T00:03:13"/>
    </cacheField>
    <cacheField name="Email" numFmtId="0">
      <sharedItems/>
    </cacheField>
    <cacheField name="Name" numFmtId="0">
      <sharedItems/>
    </cacheField>
    <cacheField name="How often do you visit us?" numFmtId="0">
      <sharedItems/>
    </cacheField>
    <cacheField name="How satisfied are you with your experience today?" numFmtId="0">
      <sharedItems containsSemiMixedTypes="0" containsString="0" containsNumber="1" containsInteger="1" minValue="1" maxValue="5" count="4">
        <n v="1"/>
        <n v="5"/>
        <n v="4"/>
        <n v="3"/>
      </sharedItems>
    </cacheField>
    <cacheField name="How satisfied were you with the following?.Food quality" numFmtId="0">
      <sharedItems/>
    </cacheField>
    <cacheField name="How satisfied were you with the following?.Staff friendliness and helpfulness" numFmtId="0">
      <sharedItems/>
    </cacheField>
    <cacheField name="How satisfied were you with the following?.Cleanliness" numFmtId="0">
      <sharedItems/>
    </cacheField>
    <cacheField name="How satisfied were you with the following?.Speed of service" numFmtId="0">
      <sharedItems/>
    </cacheField>
    <cacheField name="How satisfied were you with the following?.Pricing" numFmtId="0">
      <sharedItems/>
    </cacheField>
    <cacheField name="Most important choice when choosing a restaurant?" numFmtId="0">
      <sharedItems/>
    </cacheField>
    <cacheField name="How likely are you to recommend this restaurant to a friend or family member?" numFmtId="0">
      <sharedItems containsSemiMixedTypes="0" containsString="0" containsNumber="1" containsInteger="1" minValue="1" maxValue="9"/>
    </cacheField>
    <cacheField name="Which Loyalty Program would interest you? (Pick up to 3)" numFmtId="0">
      <sharedItems/>
    </cacheField>
    <cacheField name="Any feedback for us or anything we could do to improve your experience?" numFmtId="0">
      <sharedItems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2.464370949077" createdVersion="8" refreshedVersion="8" minRefreshableVersion="3" recordCount="5" xr:uid="{D43584F5-198D-4B50-B401-E83A77804DAE}">
  <cacheSource type="worksheet">
    <worksheetSource ref="O24:P29" sheet="forms_results"/>
  </cacheSource>
  <cacheFields count="2">
    <cacheField name="Promo Deal" numFmtId="0">
      <sharedItems count="5">
        <s v="Earning points towards free meals"/>
        <s v="Birthday Rewards"/>
        <s v="Discounts"/>
        <s v="Coupons or Deals"/>
        <s v="Members-only promos"/>
      </sharedItems>
    </cacheField>
    <cacheField name="How many chose" numFmtId="0">
      <sharedItems containsSemiMixedTypes="0" containsString="0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1"/>
    <d v="2026-10-14T20:52:24"/>
    <d v="2026-10-14T20:55:37"/>
    <d v="1899-12-30T00:03:13"/>
    <s v="gabidemi@my.yearupunited.org"/>
    <s v="gbolahan abidemi"/>
    <s v="First visit"/>
    <x v="0"/>
    <s v="Dissatisfied"/>
    <s v="Very Dissatisfied"/>
    <s v="Dissatisfied"/>
    <s v="Dissatisfied"/>
    <s v="Very Dissatisfied"/>
    <s v="Pricing"/>
    <n v="1"/>
    <s v="None, this place STINKS;"/>
    <s v="Why were there flies hovering around my food!"/>
  </r>
  <r>
    <n v="2"/>
    <d v="2026-10-15T14:26:01"/>
    <d v="2026-10-15T14:26:46"/>
    <d v="1899-12-30T00:00:45"/>
    <s v="amrapshtija@my.yearupunited.org"/>
    <s v="ardita mrapshtija"/>
    <s v="Once a week"/>
    <x v="1"/>
    <s v="Dissatisfied"/>
    <s v="Neutral"/>
    <s v="Satisfied"/>
    <s v="Very Dissatisfied"/>
    <s v="Neutral"/>
    <s v="Food Quality"/>
    <n v="4"/>
    <s v="Earning points towards free meals;Discounts on future purchases;"/>
    <m/>
  </r>
  <r>
    <n v="3"/>
    <d v="2026-10-15T14:45:13"/>
    <d v="2026-10-15T14:47:45"/>
    <d v="1899-12-30T00:02:32"/>
    <s v="ilee@my.yearupunited.org"/>
    <s v="idasha lee"/>
    <s v="First visit"/>
    <x v="2"/>
    <s v="Very Satisfied"/>
    <s v="Satisfied"/>
    <s v="Very Satisfied"/>
    <s v="Very Satisfied"/>
    <s v="Dissatisfied"/>
    <s v="Food Quality"/>
    <n v="7"/>
    <s v="Birthday Rewards;Coupons or deals (BOGO);Discounts on future purchases;"/>
    <m/>
  </r>
  <r>
    <n v="4"/>
    <d v="2026-10-16T11:13:50"/>
    <d v="2026-10-16T11:14:49"/>
    <d v="1899-12-30T00:00:59"/>
    <s v="tstaana@my.yearupunited.org"/>
    <s v="thania staana"/>
    <s v="Occasionally"/>
    <x v="1"/>
    <s v="Very Satisfied"/>
    <s v="Very Satisfied"/>
    <s v="Very Satisfied"/>
    <s v="Satisfied"/>
    <s v="Satisfied"/>
    <s v="Food Quality"/>
    <n v="8"/>
    <s v="Members-only promotions;Coupons or deals (BOGO);Earning points towards free meals;"/>
    <m/>
  </r>
  <r>
    <n v="5"/>
    <d v="2026-10-16T11:13:14"/>
    <d v="2026-10-16T11:15:12"/>
    <d v="1899-12-30T00:01:58"/>
    <s v="alewis3@my.yearupunited.org"/>
    <s v="ajani lewis"/>
    <s v="Once a week"/>
    <x v="1"/>
    <s v="Satisfied"/>
    <s v="Very Satisfied"/>
    <s v="Very Satisfied"/>
    <s v="Neutral"/>
    <s v="Satisfied"/>
    <s v="Food Quality"/>
    <n v="9"/>
    <s v="Earning points towards free meals;Coupons or deals (BOGO);Members-only promotions;"/>
    <m/>
  </r>
  <r>
    <n v="6"/>
    <d v="2026-10-16T16:32:30"/>
    <d v="2026-10-16T16:33:32"/>
    <d v="1899-12-30T00:01:02"/>
    <s v="dmendez1@my.yearupunited.org"/>
    <s v="denae mendez"/>
    <s v="First visit"/>
    <x v="3"/>
    <s v="Satisfied"/>
    <s v="Very Satisfied"/>
    <s v="Satisfied"/>
    <s v="Neutral"/>
    <s v="Dissatisfied"/>
    <s v="Pricing"/>
    <n v="7"/>
    <s v="Discounts on future purchases;Earning points towards free meals;Birthday Rewards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4"/>
  </r>
  <r>
    <x v="1"/>
    <n v="2"/>
  </r>
  <r>
    <x v="2"/>
    <n v="3"/>
  </r>
  <r>
    <x v="3"/>
    <n v="3"/>
  </r>
  <r>
    <x v="4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78AFEC-7409-41FB-83B0-B152E0ED7104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18:B24" firstHeaderRow="1" firstDataRow="1" firstDataCol="1"/>
  <pivotFields count="2">
    <pivotField axis="axisRow" compact="0" outline="0" showAll="0">
      <items count="6">
        <item x="1"/>
        <item x="3"/>
        <item x="2"/>
        <item x="0"/>
        <item x="4"/>
        <item t="default"/>
      </items>
    </pivotField>
    <pivotField dataField="1" compact="0" outline="0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How many chose" fld="1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6B1C44-826D-4BB4-B1C5-C573A4D6837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" firstHeaderRow="1" firstDataRow="1" firstDataCol="1"/>
  <pivotFields count="17">
    <pivotField compact="0" outline="0" showAll="0"/>
    <pivotField compact="0" numFmtId="164" outline="0" showAll="0"/>
    <pivotField compact="0" numFmtId="164" outline="0" showAll="0"/>
    <pivotField compact="0" numFmtId="45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5">
        <item x="0"/>
        <item x="2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Q7" totalsRowShown="0">
  <autoFilter ref="A1:Q7" xr:uid="{00000000-0009-0000-0100-000001000000}"/>
  <tableColumns count="17">
    <tableColumn id="1" xr3:uid="{00000000-0010-0000-0000-000001000000}" name="Id" dataDxfId="16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5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14">
      <extLst>
        <ext xmlns:xlmsforms="http://schemas.microsoft.com/office/spreadsheetml/2023/msForms" uri="{FCC71383-01E1-4257-9335-427F07BE8D7F}">
          <xlmsforms:question id="submitDate"/>
        </ext>
      </extLst>
    </tableColumn>
    <tableColumn id="17" xr3:uid="{029E1266-F0E5-452B-9E78-EB7CBECF53CE}" name="Time to complete" dataDxfId="13">
      <calculatedColumnFormula>C2 - B2</calculatedColumnFormula>
    </tableColumn>
    <tableColumn id="4" xr3:uid="{00000000-0010-0000-0000-000004000000}" name="Email" dataDxfId="12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1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How often do you visit us?" dataDxfId="10">
      <extLst>
        <ext xmlns:xlmsforms="http://schemas.microsoft.com/office/spreadsheetml/2023/msForms" uri="{FCC71383-01E1-4257-9335-427F07BE8D7F}">
          <xlmsforms:question id="rbcf97fcfafb7431d898a1bbca36eb844"/>
        </ext>
      </extLst>
    </tableColumn>
    <tableColumn id="7" xr3:uid="{00000000-0010-0000-0000-000007000000}" name="How satisfied are you with your experience today?" dataDxfId="9">
      <extLst>
        <ext xmlns:xlmsforms="http://schemas.microsoft.com/office/spreadsheetml/2023/msForms" uri="{FCC71383-01E1-4257-9335-427F07BE8D7F}">
          <xlmsforms:question id="r4920467a5f8141ffa3752e146091e7f4"/>
        </ext>
      </extLst>
    </tableColumn>
    <tableColumn id="8" xr3:uid="{00000000-0010-0000-0000-000008000000}" name="How satisfied were you with the following?.Food quality" dataDxfId="8">
      <extLst>
        <ext xmlns:xlmsforms="http://schemas.microsoft.com/office/spreadsheetml/2023/msForms" uri="{FCC71383-01E1-4257-9335-427F07BE8D7F}">
          <xlmsforms:question id="re6be5c35bae8450398dbcfbb09d6ad8c"/>
        </ext>
      </extLst>
    </tableColumn>
    <tableColumn id="9" xr3:uid="{00000000-0010-0000-0000-000009000000}" name="How satisfied were you with the following?.Staff friendliness and helpfulness" dataDxfId="7">
      <extLst>
        <ext xmlns:xlmsforms="http://schemas.microsoft.com/office/spreadsheetml/2023/msForms" uri="{FCC71383-01E1-4257-9335-427F07BE8D7F}">
          <xlmsforms:question id="r7ba0b8ea376c47c985503157abb5b9a4"/>
        </ext>
      </extLst>
    </tableColumn>
    <tableColumn id="10" xr3:uid="{00000000-0010-0000-0000-00000A000000}" name="How satisfied were you with the following?.Cleanliness" dataDxfId="6">
      <extLst>
        <ext xmlns:xlmsforms="http://schemas.microsoft.com/office/spreadsheetml/2023/msForms" uri="{FCC71383-01E1-4257-9335-427F07BE8D7F}">
          <xlmsforms:question id="r2ab5935abd2d463386d3dea79d089ce4"/>
        </ext>
      </extLst>
    </tableColumn>
    <tableColumn id="11" xr3:uid="{00000000-0010-0000-0000-00000B000000}" name="How satisfied were you with the following?.Speed of service" dataDxfId="5">
      <extLst>
        <ext xmlns:xlmsforms="http://schemas.microsoft.com/office/spreadsheetml/2023/msForms" uri="{FCC71383-01E1-4257-9335-427F07BE8D7F}">
          <xlmsforms:question id="rac6d796ce7c64d0e826c2ead89aa3a89"/>
        </ext>
      </extLst>
    </tableColumn>
    <tableColumn id="12" xr3:uid="{00000000-0010-0000-0000-00000C000000}" name="How satisfied were you with the following?.Pricing" dataDxfId="4">
      <extLst>
        <ext xmlns:xlmsforms="http://schemas.microsoft.com/office/spreadsheetml/2023/msForms" uri="{FCC71383-01E1-4257-9335-427F07BE8D7F}">
          <xlmsforms:question id="r1c97d3804b5c4df48e9bef3bd36d58b0"/>
        </ext>
      </extLst>
    </tableColumn>
    <tableColumn id="13" xr3:uid="{00000000-0010-0000-0000-00000D000000}" name="Most important choice when choosing a restaurant?" dataDxfId="3">
      <extLst>
        <ext xmlns:xlmsforms="http://schemas.microsoft.com/office/spreadsheetml/2023/msForms" uri="{FCC71383-01E1-4257-9335-427F07BE8D7F}">
          <xlmsforms:question id="rc7b10caed0f64e2f82fc805e61b2d80c"/>
        </ext>
      </extLst>
    </tableColumn>
    <tableColumn id="14" xr3:uid="{00000000-0010-0000-0000-00000E000000}" name="How likely are you to recommend this restaurant to a friend or family member?" dataDxfId="2">
      <extLst>
        <ext xmlns:xlmsforms="http://schemas.microsoft.com/office/spreadsheetml/2023/msForms" uri="{FCC71383-01E1-4257-9335-427F07BE8D7F}">
          <xlmsforms:question id="r35a13b1e1112400fb1db1fabe06b25cc"/>
        </ext>
      </extLst>
    </tableColumn>
    <tableColumn id="15" xr3:uid="{00000000-0010-0000-0000-00000F000000}" name="Which Loyalty Program would interest you? (Pick up to 3)" dataDxfId="1">
      <extLst>
        <ext xmlns:xlmsforms="http://schemas.microsoft.com/office/spreadsheetml/2023/msForms" uri="{FCC71383-01E1-4257-9335-427F07BE8D7F}">
          <xlmsforms:question id="rb1084afe5282434e9d6707262c2639ed"/>
        </ext>
      </extLst>
    </tableColumn>
    <tableColumn id="16" xr3:uid="{00000000-0010-0000-0000-000010000000}" name="Any feedback for us or anything we could do to improve your experience?" dataDxfId="0">
      <extLst>
        <ext xmlns:xlmsforms="http://schemas.microsoft.com/office/spreadsheetml/2023/msForms" uri="{FCC71383-01E1-4257-9335-427F07BE8D7F}">
          <xlmsforms:question id="r2fed728e8a234cc5a783cebc85a9edd2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5uJQgU128BLhNMOvqdz4P5UOFVNU0Y5VkNPOUZMWk9OTFBKWU0wQUtJNi4u" isFormConnected="1" maxResponseId="6" latestEventMarker="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rbcf97fcfafb7431d898a1bbca36eb844</xlmsforms:syncedQuestionId>
        <xlmsforms:syncedQuestionId>r4920467a5f8141ffa3752e146091e7f4</xlmsforms:syncedQuestionId>
        <xlmsforms:syncedQuestionId>re6be5c35bae8450398dbcfbb09d6ad8c</xlmsforms:syncedQuestionId>
        <xlmsforms:syncedQuestionId>r7ba0b8ea376c47c985503157abb5b9a4</xlmsforms:syncedQuestionId>
        <xlmsforms:syncedQuestionId>r2ab5935abd2d463386d3dea79d089ce4</xlmsforms:syncedQuestionId>
        <xlmsforms:syncedQuestionId>rac6d796ce7c64d0e826c2ead89aa3a89</xlmsforms:syncedQuestionId>
        <xlmsforms:syncedQuestionId>r1c97d3804b5c4df48e9bef3bd36d58b0</xlmsforms:syncedQuestionId>
        <xlmsforms:syncedQuestionId>rc7b10caed0f64e2f82fc805e61b2d80c</xlmsforms:syncedQuestionId>
        <xlmsforms:syncedQuestionId>r35a13b1e1112400fb1db1fabe06b25cc</xlmsforms:syncedQuestionId>
        <xlmsforms:syncedQuestionId>rb1084afe5282434e9d6707262c2639ed</xlmsforms:syncedQuestionId>
        <xlmsforms:syncedQuestionId>r2fed728e8a234cc5a783cebc85a9edd2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Q31"/>
  <sheetViews>
    <sheetView tabSelected="1" workbookViewId="0">
      <selection activeCell="I24" sqref="I24"/>
    </sheetView>
  </sheetViews>
  <sheetFormatPr defaultRowHeight="14.4" x14ac:dyDescent="0.3"/>
  <cols>
    <col min="1" max="1" width="5.109375" bestFit="1" customWidth="1"/>
    <col min="2" max="2" width="19.88671875" style="1" bestFit="1" customWidth="1"/>
    <col min="3" max="3" width="19.88671875" bestFit="1" customWidth="1"/>
    <col min="4" max="4" width="19.109375" style="2" bestFit="1" customWidth="1"/>
    <col min="5" max="5" width="20" bestFit="1" customWidth="1"/>
    <col min="6" max="6" width="16.88671875" bestFit="1" customWidth="1"/>
    <col min="7" max="7" width="20" bestFit="1" customWidth="1"/>
    <col min="8" max="8" width="8" customWidth="1"/>
    <col min="9" max="9" width="15.44140625" customWidth="1"/>
    <col min="10" max="10" width="14.88671875" customWidth="1"/>
    <col min="11" max="11" width="13.44140625" customWidth="1"/>
    <col min="12" max="12" width="15.6640625" customWidth="1"/>
    <col min="13" max="13" width="16.44140625" customWidth="1"/>
    <col min="14" max="14" width="15.33203125" customWidth="1"/>
    <col min="15" max="15" width="20.44140625" customWidth="1"/>
    <col min="16" max="16" width="23.88671875" customWidth="1"/>
    <col min="17" max="17" width="66.88671875" customWidth="1"/>
  </cols>
  <sheetData>
    <row r="1" spans="1:17" x14ac:dyDescent="0.3">
      <c r="A1" t="s">
        <v>0</v>
      </c>
      <c r="B1" s="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1</v>
      </c>
      <c r="B2" s="1">
        <v>46309.869722222225</v>
      </c>
      <c r="C2" s="1">
        <v>46309.87195601852</v>
      </c>
      <c r="D2" s="2">
        <f t="shared" ref="D2:D6" si="0">C2 - B2</f>
        <v>2.2337962946039625E-3</v>
      </c>
      <c r="E2" t="s">
        <v>17</v>
      </c>
      <c r="F2" t="s">
        <v>18</v>
      </c>
      <c r="G2" t="s">
        <v>19</v>
      </c>
      <c r="H2">
        <v>1</v>
      </c>
      <c r="I2" t="s">
        <v>20</v>
      </c>
      <c r="J2" t="s">
        <v>21</v>
      </c>
      <c r="K2" t="s">
        <v>20</v>
      </c>
      <c r="L2" t="s">
        <v>20</v>
      </c>
      <c r="M2" t="s">
        <v>21</v>
      </c>
      <c r="N2" t="s">
        <v>22</v>
      </c>
      <c r="O2">
        <v>1</v>
      </c>
      <c r="P2" t="s">
        <v>23</v>
      </c>
      <c r="Q2" t="s">
        <v>24</v>
      </c>
    </row>
    <row r="3" spans="1:17" x14ac:dyDescent="0.3">
      <c r="A3">
        <v>2</v>
      </c>
      <c r="B3" s="1">
        <v>46310.601400462961</v>
      </c>
      <c r="C3" s="1">
        <v>46310.601921296293</v>
      </c>
      <c r="D3" s="2">
        <f t="shared" si="0"/>
        <v>5.2083333139307797E-4</v>
      </c>
      <c r="E3" t="s">
        <v>25</v>
      </c>
      <c r="F3" t="s">
        <v>26</v>
      </c>
      <c r="G3" t="s">
        <v>27</v>
      </c>
      <c r="H3">
        <v>5</v>
      </c>
      <c r="I3" t="s">
        <v>20</v>
      </c>
      <c r="J3" t="s">
        <v>28</v>
      </c>
      <c r="K3" t="s">
        <v>29</v>
      </c>
      <c r="L3" t="s">
        <v>21</v>
      </c>
      <c r="M3" t="s">
        <v>28</v>
      </c>
      <c r="N3" t="s">
        <v>30</v>
      </c>
      <c r="O3">
        <v>4</v>
      </c>
      <c r="P3" t="s">
        <v>31</v>
      </c>
    </row>
    <row r="4" spans="1:17" x14ac:dyDescent="0.3">
      <c r="A4">
        <v>3</v>
      </c>
      <c r="B4" s="1">
        <v>46310.614733796298</v>
      </c>
      <c r="C4" s="1">
        <v>46310.616493055553</v>
      </c>
      <c r="D4" s="2">
        <f t="shared" si="0"/>
        <v>1.7592592557775788E-3</v>
      </c>
      <c r="E4" t="s">
        <v>32</v>
      </c>
      <c r="F4" t="s">
        <v>33</v>
      </c>
      <c r="G4" t="s">
        <v>19</v>
      </c>
      <c r="H4">
        <v>4</v>
      </c>
      <c r="I4" t="s">
        <v>34</v>
      </c>
      <c r="J4" t="s">
        <v>29</v>
      </c>
      <c r="K4" t="s">
        <v>34</v>
      </c>
      <c r="L4" t="s">
        <v>34</v>
      </c>
      <c r="M4" t="s">
        <v>20</v>
      </c>
      <c r="N4" t="s">
        <v>30</v>
      </c>
      <c r="O4">
        <v>7</v>
      </c>
      <c r="P4" t="s">
        <v>35</v>
      </c>
    </row>
    <row r="5" spans="1:17" x14ac:dyDescent="0.3">
      <c r="A5">
        <v>4</v>
      </c>
      <c r="B5" s="1">
        <v>46311.467939814815</v>
      </c>
      <c r="C5" s="1">
        <v>46311.468622685185</v>
      </c>
      <c r="D5" s="2">
        <f t="shared" si="0"/>
        <v>6.8287036992842332E-4</v>
      </c>
      <c r="E5" t="s">
        <v>36</v>
      </c>
      <c r="F5" t="s">
        <v>37</v>
      </c>
      <c r="G5" t="s">
        <v>38</v>
      </c>
      <c r="H5">
        <v>5</v>
      </c>
      <c r="I5" t="s">
        <v>34</v>
      </c>
      <c r="J5" t="s">
        <v>34</v>
      </c>
      <c r="K5" t="s">
        <v>34</v>
      </c>
      <c r="L5" t="s">
        <v>29</v>
      </c>
      <c r="M5" t="s">
        <v>29</v>
      </c>
      <c r="N5" t="s">
        <v>30</v>
      </c>
      <c r="O5">
        <v>8</v>
      </c>
      <c r="P5" t="s">
        <v>39</v>
      </c>
    </row>
    <row r="6" spans="1:17" x14ac:dyDescent="0.3">
      <c r="A6">
        <v>5</v>
      </c>
      <c r="B6" s="1">
        <v>46311.467523148145</v>
      </c>
      <c r="C6" s="1">
        <v>46311.468888888892</v>
      </c>
      <c r="D6" s="2">
        <f t="shared" si="0"/>
        <v>1.3657407471328042E-3</v>
      </c>
      <c r="E6" t="s">
        <v>40</v>
      </c>
      <c r="F6" t="s">
        <v>41</v>
      </c>
      <c r="G6" t="s">
        <v>27</v>
      </c>
      <c r="H6">
        <v>5</v>
      </c>
      <c r="I6" t="s">
        <v>29</v>
      </c>
      <c r="J6" t="s">
        <v>34</v>
      </c>
      <c r="K6" t="s">
        <v>34</v>
      </c>
      <c r="L6" t="s">
        <v>28</v>
      </c>
      <c r="M6" t="s">
        <v>29</v>
      </c>
      <c r="N6" t="s">
        <v>30</v>
      </c>
      <c r="O6">
        <v>9</v>
      </c>
      <c r="P6" t="s">
        <v>42</v>
      </c>
    </row>
    <row r="7" spans="1:17" x14ac:dyDescent="0.3">
      <c r="A7">
        <v>6</v>
      </c>
      <c r="B7" s="1">
        <v>46311.689236111102</v>
      </c>
      <c r="C7" s="1">
        <v>46311.689953703702</v>
      </c>
      <c r="D7" s="2">
        <f>C7 - B7</f>
        <v>7.1759260026738048E-4</v>
      </c>
      <c r="E7" s="5" t="s">
        <v>43</v>
      </c>
      <c r="F7" s="5" t="s">
        <v>44</v>
      </c>
      <c r="G7" s="5" t="s">
        <v>19</v>
      </c>
      <c r="H7">
        <v>3</v>
      </c>
      <c r="I7" s="5" t="s">
        <v>29</v>
      </c>
      <c r="J7" s="5" t="s">
        <v>34</v>
      </c>
      <c r="K7" s="5" t="s">
        <v>29</v>
      </c>
      <c r="L7" s="5" t="s">
        <v>28</v>
      </c>
      <c r="M7" s="5" t="s">
        <v>20</v>
      </c>
      <c r="N7" s="5" t="s">
        <v>22</v>
      </c>
      <c r="O7">
        <v>7</v>
      </c>
      <c r="P7" s="5" t="s">
        <v>45</v>
      </c>
      <c r="Q7" s="5"/>
    </row>
    <row r="23" spans="4:16" x14ac:dyDescent="0.3">
      <c r="D23" s="2">
        <f>AVERAGE(D2:D22)</f>
        <v>1.2133487665172045E-3</v>
      </c>
      <c r="H23">
        <f>AVERAGE(H2:H22)</f>
        <v>3.8333333333333335</v>
      </c>
      <c r="I23" s="3">
        <f>SUM(COUNTIF(I2:I22,"Satisfied"),COUNTIF(I2:I22,"Very Satisfied"))</f>
        <v>4</v>
      </c>
      <c r="J23" s="3">
        <f>SUM(COUNTIF(J2:J22,"Satisfied"),COUNTIF(J2:J22,"Very Satisfied"))</f>
        <v>4</v>
      </c>
      <c r="K23" s="3">
        <f>SUM(COUNTIF(K2:K22,"Satisfied"),COUNTIF(K2:K22,"Very Satisfied"))</f>
        <v>5</v>
      </c>
      <c r="L23" s="3">
        <f>SUM(COUNTIF(L2:L22,"Satisfied"),COUNTIF(L2:L22,"Very Satisfied"))</f>
        <v>2</v>
      </c>
      <c r="M23" s="3">
        <f>SUM(COUNTIF(M2:M22,"Satisfied"),COUNTIF(M2:M22,"Very Satisfied"))</f>
        <v>2</v>
      </c>
      <c r="O23">
        <f>AVERAGE(O2:O22)</f>
        <v>6</v>
      </c>
    </row>
    <row r="24" spans="4:16" ht="28.8" x14ac:dyDescent="0.3">
      <c r="F24" t="s">
        <v>46</v>
      </c>
      <c r="G24" t="s">
        <v>47</v>
      </c>
      <c r="I24" s="3"/>
      <c r="J24" s="3"/>
      <c r="K24" s="3"/>
      <c r="L24" s="3"/>
      <c r="M24" s="3" t="s">
        <v>48</v>
      </c>
      <c r="N24" t="s">
        <v>49</v>
      </c>
      <c r="O24" t="s">
        <v>50</v>
      </c>
      <c r="P24" t="s">
        <v>51</v>
      </c>
    </row>
    <row r="25" spans="4:16" x14ac:dyDescent="0.3">
      <c r="F25" t="s">
        <v>19</v>
      </c>
      <c r="G25">
        <f>COUNTIF(G2:G21,F25)</f>
        <v>3</v>
      </c>
      <c r="M25" t="s">
        <v>22</v>
      </c>
      <c r="N25">
        <f>COUNTIF(N2:N22, "Pricing")</f>
        <v>2</v>
      </c>
      <c r="O25" t="s">
        <v>52</v>
      </c>
      <c r="P25">
        <f>COUNTIF(P2:P22, "*Earning points towards free meals*")</f>
        <v>4</v>
      </c>
    </row>
    <row r="26" spans="4:16" x14ac:dyDescent="0.3">
      <c r="F26" t="s">
        <v>27</v>
      </c>
      <c r="G26">
        <f>COUNTIF(G2:G21,F26)</f>
        <v>2</v>
      </c>
      <c r="M26" t="s">
        <v>30</v>
      </c>
      <c r="N26">
        <f>COUNTIF(N2:N22, M26)</f>
        <v>4</v>
      </c>
      <c r="O26" t="s">
        <v>53</v>
      </c>
      <c r="P26">
        <f>COUNTIF(P2:P22, "*Birthday Rewards*")</f>
        <v>2</v>
      </c>
    </row>
    <row r="27" spans="4:16" x14ac:dyDescent="0.3">
      <c r="F27" t="s">
        <v>54</v>
      </c>
      <c r="G27">
        <f>COUNTIF(G2:G21,F27)</f>
        <v>0</v>
      </c>
      <c r="M27" t="s">
        <v>55</v>
      </c>
      <c r="N27">
        <f>COUNTIF(N2:N22, M27)</f>
        <v>0</v>
      </c>
      <c r="O27" t="s">
        <v>56</v>
      </c>
      <c r="P27">
        <f>COUNTIF(P2:P22, "*Discounts on future purchases*")</f>
        <v>3</v>
      </c>
    </row>
    <row r="28" spans="4:16" x14ac:dyDescent="0.3">
      <c r="F28" t="s">
        <v>57</v>
      </c>
      <c r="G28">
        <f>COUNTIF(G2:G21,F28)</f>
        <v>0</v>
      </c>
      <c r="M28" t="s">
        <v>58</v>
      </c>
      <c r="N28">
        <f>COUNTIF(N2:N22, M28)</f>
        <v>0</v>
      </c>
      <c r="O28" t="s">
        <v>59</v>
      </c>
      <c r="P28">
        <f>COUNTIF(P2:P22, "*Coupons or deals (BOGO)*")</f>
        <v>3</v>
      </c>
    </row>
    <row r="29" spans="4:16" x14ac:dyDescent="0.3">
      <c r="F29" t="s">
        <v>38</v>
      </c>
      <c r="G29">
        <f>COUNTIF(G2:G21,F29)</f>
        <v>1</v>
      </c>
      <c r="M29" t="s">
        <v>60</v>
      </c>
      <c r="N29">
        <f>COUNTIF(N2:N22, M29)</f>
        <v>0</v>
      </c>
      <c r="O29" t="s">
        <v>61</v>
      </c>
      <c r="P29">
        <f>COUNTIF(P2:P22, "*Members-only promotions*")</f>
        <v>2</v>
      </c>
    </row>
    <row r="30" spans="4:16" x14ac:dyDescent="0.3">
      <c r="M30" t="s">
        <v>62</v>
      </c>
      <c r="N30">
        <f>COUNTIF(N2:N22, M30)</f>
        <v>0</v>
      </c>
    </row>
    <row r="31" spans="4:16" x14ac:dyDescent="0.3">
      <c r="M31" t="s">
        <v>63</v>
      </c>
      <c r="N31">
        <f>COUNTIF(N2:N22, M31)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4894-EED4-497B-9B70-C1E6D20F4721}">
  <sheetPr>
    <tabColor rgb="FF00B050"/>
  </sheetPr>
  <dimension ref="A2:B24"/>
  <sheetViews>
    <sheetView workbookViewId="0">
      <selection activeCell="A2" sqref="A2"/>
    </sheetView>
  </sheetViews>
  <sheetFormatPr defaultRowHeight="14.4" x14ac:dyDescent="0.3"/>
  <cols>
    <col min="1" max="1" width="31.5546875" bestFit="1" customWidth="1"/>
    <col min="2" max="2" width="23.44140625" bestFit="1" customWidth="1"/>
    <col min="3" max="3" width="56.6640625" customWidth="1"/>
    <col min="4" max="4" width="47.6640625" customWidth="1"/>
    <col min="5" max="5" width="11.6640625" bestFit="1" customWidth="1"/>
    <col min="6" max="6" width="82.33203125" bestFit="1" customWidth="1"/>
    <col min="7" max="7" width="23.109375" bestFit="1" customWidth="1"/>
    <col min="8" max="8" width="11.6640625" bestFit="1" customWidth="1"/>
  </cols>
  <sheetData>
    <row r="2" spans="1:2" x14ac:dyDescent="0.3">
      <c r="A2" s="4" t="s">
        <v>7</v>
      </c>
      <c r="B2" t="s">
        <v>64</v>
      </c>
    </row>
    <row r="3" spans="1:2" x14ac:dyDescent="0.3">
      <c r="A3">
        <v>1</v>
      </c>
      <c r="B3">
        <v>1</v>
      </c>
    </row>
    <row r="4" spans="1:2" x14ac:dyDescent="0.3">
      <c r="A4">
        <v>4</v>
      </c>
      <c r="B4">
        <v>1</v>
      </c>
    </row>
    <row r="5" spans="1:2" x14ac:dyDescent="0.3">
      <c r="A5">
        <v>5</v>
      </c>
      <c r="B5">
        <v>3</v>
      </c>
    </row>
    <row r="6" spans="1:2" x14ac:dyDescent="0.3">
      <c r="A6">
        <v>3</v>
      </c>
      <c r="B6">
        <v>1</v>
      </c>
    </row>
    <row r="7" spans="1:2" x14ac:dyDescent="0.3">
      <c r="A7" t="s">
        <v>65</v>
      </c>
      <c r="B7">
        <v>6</v>
      </c>
    </row>
    <row r="18" spans="1:2" x14ac:dyDescent="0.3">
      <c r="A18" s="4" t="s">
        <v>50</v>
      </c>
      <c r="B18" t="s">
        <v>66</v>
      </c>
    </row>
    <row r="19" spans="1:2" x14ac:dyDescent="0.3">
      <c r="A19" t="s">
        <v>53</v>
      </c>
      <c r="B19">
        <v>2</v>
      </c>
    </row>
    <row r="20" spans="1:2" x14ac:dyDescent="0.3">
      <c r="A20" t="s">
        <v>59</v>
      </c>
      <c r="B20">
        <v>3</v>
      </c>
    </row>
    <row r="21" spans="1:2" x14ac:dyDescent="0.3">
      <c r="A21" t="s">
        <v>56</v>
      </c>
      <c r="B21">
        <v>3</v>
      </c>
    </row>
    <row r="22" spans="1:2" x14ac:dyDescent="0.3">
      <c r="A22" t="s">
        <v>52</v>
      </c>
      <c r="B22">
        <v>4</v>
      </c>
    </row>
    <row r="23" spans="1:2" x14ac:dyDescent="0.3">
      <c r="A23" t="s">
        <v>61</v>
      </c>
      <c r="B23">
        <v>2</v>
      </c>
    </row>
    <row r="24" spans="1:2" x14ac:dyDescent="0.3">
      <c r="A24" t="s">
        <v>65</v>
      </c>
      <c r="B24">
        <v>14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forms_results</vt:lpstr>
      <vt:lpstr>Pivot_Charts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springer</dc:creator>
  <cp:keywords/>
  <dc:description/>
  <cp:lastModifiedBy>christopher springer</cp:lastModifiedBy>
  <cp:revision/>
  <dcterms:created xsi:type="dcterms:W3CDTF">2026-10-16T18:15:19Z</dcterms:created>
  <dcterms:modified xsi:type="dcterms:W3CDTF">2026-10-17T15:14:19Z</dcterms:modified>
  <cp:category/>
  <cp:contentStatus/>
</cp:coreProperties>
</file>