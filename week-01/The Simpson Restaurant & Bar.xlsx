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155" documentId="13_ncr:1_{AD74628D-BE06-4FC1-BE04-2187DD70E9AC}" xr6:coauthVersionLast="47" xr6:coauthVersionMax="47" xr10:uidLastSave="{30BCCE43-6A9C-4AA8-8C97-F4E6F19068AF}"/>
  <bookViews>
    <workbookView xWindow="0" yWindow="0" windowWidth="28800" windowHeight="13905" activeTab="1" xr2:uid="{00000000-000D-0000-FFFF-FFFF00000000}"/>
  </bookViews>
  <sheets>
    <sheet name="Sheet1" sheetId="1" r:id="rId1"/>
    <sheet name="Sheet2" sheetId="2" r:id="rId2"/>
  </sheets>
  <calcPr calcId="191028"/>
  <pivotCaches>
    <pivotCache cacheId="98" r:id="rId3"/>
    <pivotCache cacheId="1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P29" i="1"/>
  <c r="P27" i="1"/>
  <c r="P26" i="1"/>
  <c r="P25" i="1"/>
  <c r="N30" i="1"/>
  <c r="N29" i="1"/>
  <c r="N28" i="1"/>
  <c r="N27" i="1"/>
  <c r="N26" i="1"/>
  <c r="N25" i="1"/>
  <c r="N24" i="1"/>
  <c r="J22" i="1"/>
  <c r="K22" i="1"/>
  <c r="L22" i="1"/>
  <c r="M22" i="1"/>
  <c r="I22" i="1"/>
  <c r="O22" i="1"/>
  <c r="H22" i="1"/>
  <c r="D2" i="1"/>
  <c r="D3" i="1"/>
  <c r="D4" i="1"/>
  <c r="D5" i="1"/>
  <c r="D6" i="1"/>
  <c r="D22" i="1" l="1"/>
</calcChain>
</file>

<file path=xl/sharedStrings.xml><?xml version="1.0" encoding="utf-8"?>
<sst xmlns="http://schemas.openxmlformats.org/spreadsheetml/2006/main" count="83" uniqueCount="55">
  <si>
    <t>Id</t>
  </si>
  <si>
    <t>Start time</t>
  </si>
  <si>
    <t>Completion time</t>
  </si>
  <si>
    <t>Time to complete</t>
  </si>
  <si>
    <t>Email</t>
  </si>
  <si>
    <t>Name</t>
  </si>
  <si>
    <t>How often do you visit us?</t>
  </si>
  <si>
    <t>How satisfied are you with your experience today?</t>
  </si>
  <si>
    <t>How satisfied were you with the following?.Food quality</t>
  </si>
  <si>
    <t>How satisfied were you with the following?.Staff friendliness and helpfulness</t>
  </si>
  <si>
    <t>How satisfied were you with the following?.Cleanliness</t>
  </si>
  <si>
    <t>How satisfied were you with the following?.Speed of service</t>
  </si>
  <si>
    <t>How satisfied were you with the following?.Pricing</t>
  </si>
  <si>
    <t>Most important choice when choosing a restaurant?</t>
  </si>
  <si>
    <t>How likely are you to recommend this restaurant to a friend or family member?</t>
  </si>
  <si>
    <t>Which Loyalty Program would interest you? (Pick up to 3)</t>
  </si>
  <si>
    <t>Any feedback for us or anything we could do to improve your experience?</t>
  </si>
  <si>
    <t>gabidemi@my.yearupunited.org</t>
  </si>
  <si>
    <t>gbolahan abidemi</t>
  </si>
  <si>
    <t>First visit</t>
  </si>
  <si>
    <t>Dissatisfied</t>
  </si>
  <si>
    <t>Very Dissatisfied</t>
  </si>
  <si>
    <t>Pricing</t>
  </si>
  <si>
    <t>None, this place STINKS;</t>
  </si>
  <si>
    <t>Why were there flies hovering around my food!</t>
  </si>
  <si>
    <t>amrapshtija@my.yearupunited.org</t>
  </si>
  <si>
    <t>ardita mrapshtija</t>
  </si>
  <si>
    <t>Once a week</t>
  </si>
  <si>
    <t>Neutral</t>
  </si>
  <si>
    <t>Satisfied</t>
  </si>
  <si>
    <t>Food Quality</t>
  </si>
  <si>
    <t>Earning points towards free meals;Discounts on future purchases;</t>
  </si>
  <si>
    <t>ilee@my.yearupunited.org</t>
  </si>
  <si>
    <t>idasha lee</t>
  </si>
  <si>
    <t>Very Satisfied</t>
  </si>
  <si>
    <t>Birthday Rewards;Coupons or deals (BOGO);Discounts on future purchases;</t>
  </si>
  <si>
    <t>tstaana@my.yearupunited.org</t>
  </si>
  <si>
    <t>thania staana</t>
  </si>
  <si>
    <t>Occasionally</t>
  </si>
  <si>
    <t>Members-only promotions;Coupons or deals (BOGO);Earning points towards free meals;</t>
  </si>
  <si>
    <t>alewis3@my.yearupunited.org</t>
  </si>
  <si>
    <t>ajani lewis</t>
  </si>
  <si>
    <t>Earning points towards free meals;Coupons or deals (BOGO);Members-only promotions;</t>
  </si>
  <si>
    <t>Earning points towards free meals</t>
  </si>
  <si>
    <t>Location</t>
  </si>
  <si>
    <t>Birthday Rewards</t>
  </si>
  <si>
    <t>Atmosphere</t>
  </si>
  <si>
    <t>Discounts</t>
  </si>
  <si>
    <t>Grade</t>
  </si>
  <si>
    <t>Coupons or Deals</t>
  </si>
  <si>
    <t>Type of Restaurant/Cuisine (Italian, Greek, etc.)</t>
  </si>
  <si>
    <t>Members-only promos</t>
  </si>
  <si>
    <t>Menu Options</t>
  </si>
  <si>
    <t>Count of Name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</si>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</sst>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164" fontId="0" fillId="0" borderId="0" xfId="0" applyNumberFormat="1"/>
    <xf numFmtId="45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28" formatCode="mm:ss"/>
    </dxf>
    <dxf>
      <numFmt numFmtId="164" formatCode="mm/dd/yyyy\ hh:mm:ss"/>
    </dxf>
    <dxf>
      <numFmt numFmtId="164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Simpson Restaurant &amp; Bar.xlsx]Sheet2!PivotTable1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Satisfaction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Sheet2!$A$3:$A$6</c:f>
              <c:strCache>
                <c:ptCount val="3"/>
                <c:pt idx="0">
                  <c:v>1</c:v>
                </c:pt>
                <c:pt idx="1">
                  <c:v>4</c:v>
                </c:pt>
                <c:pt idx="2">
                  <c:v>5</c:v>
                </c:pt>
              </c:strCache>
            </c:strRef>
          </c:cat>
          <c:val>
            <c:numRef>
              <c:f>Sheet2!$B$3:$B$6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E1-4FE4-8CF3-5D59A8CCC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146652167"/>
        <c:axId val="146662919"/>
      </c:barChart>
      <c:catAx>
        <c:axId val="146652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Satisfaction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2919"/>
        <c:crosses val="autoZero"/>
        <c:auto val="1"/>
        <c:lblAlgn val="ctr"/>
        <c:lblOffset val="100"/>
        <c:noMultiLvlLbl val="0"/>
      </c:catAx>
      <c:valAx>
        <c:axId val="146662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52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9525</xdr:rowOff>
    </xdr:from>
    <xdr:to>
      <xdr:col>3</xdr:col>
      <xdr:colOff>542925</xdr:colOff>
      <xdr:row>15</xdr:row>
      <xdr:rowOff>85725</xdr:rowOff>
    </xdr:to>
    <xdr:graphicFrame macro="">
      <xdr:nvGraphicFramePr>
        <xdr:cNvPr id="2" name="Chart 1" descr="Chart type: Clustered Bar. 'Name' by 'How satisfied are you with your experience today?'&#10;&#10;Description automatically generated">
          <a:extLst>
            <a:ext uri="{FF2B5EF4-FFF2-40B4-BE49-F238E27FC236}">
              <a16:creationId xmlns:a16="http://schemas.microsoft.com/office/drawing/2014/main" id="{E8587C62-DFE3-63A2-40ED-F951FCDEB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1.628476041667" createdVersion="8" refreshedVersion="8" minRefreshableVersion="3" recordCount="5" xr:uid="{314E3899-F73A-4104-87A1-DA6341D65789}">
  <cacheSource type="worksheet">
    <worksheetSource name="OfficeForms.Table"/>
  </cacheSource>
  <cacheFields count="17">
    <cacheField name="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Start time" numFmtId="164">
      <sharedItems containsSemiMixedTypes="0" containsNonDate="0" containsDate="1" containsString="0" minDate="2026-10-14T20:52:24" maxDate="2026-10-16T11:13:50"/>
    </cacheField>
    <cacheField name="Completion time" numFmtId="164">
      <sharedItems containsSemiMixedTypes="0" containsNonDate="0" containsDate="1" containsString="0" minDate="2026-10-14T20:55:37" maxDate="2026-10-16T11:15:12"/>
    </cacheField>
    <cacheField name="Time to complete" numFmtId="45">
      <sharedItems containsSemiMixedTypes="0" containsNonDate="0" containsDate="1" containsString="0" minDate="1899-12-30T00:00:45" maxDate="1899-12-30T00:03:13"/>
    </cacheField>
    <cacheField name="Email" numFmtId="0">
      <sharedItems/>
    </cacheField>
    <cacheField name="Name" numFmtId="0">
      <sharedItems count="5">
        <s v="gbolahan abidemi"/>
        <s v="ardita mrapshtija"/>
        <s v="idasha lee"/>
        <s v="thania staana"/>
        <s v="ajani lewis"/>
      </sharedItems>
    </cacheField>
    <cacheField name="How often do you visit us?" numFmtId="0">
      <sharedItems/>
    </cacheField>
    <cacheField name="How satisfied are you with your experience today?" numFmtId="0">
      <sharedItems containsSemiMixedTypes="0" containsString="0" containsNumber="1" containsInteger="1" minValue="1" maxValue="5" count="3">
        <n v="1"/>
        <n v="5"/>
        <n v="4"/>
      </sharedItems>
    </cacheField>
    <cacheField name="How satisfied were you with the following?.Food quality" numFmtId="0">
      <sharedItems/>
    </cacheField>
    <cacheField name="How satisfied were you with the following?.Staff friendliness and helpfulness" numFmtId="0">
      <sharedItems/>
    </cacheField>
    <cacheField name="How satisfied were you with the following?.Cleanliness" numFmtId="0">
      <sharedItems/>
    </cacheField>
    <cacheField name="How satisfied were you with the following?.Speed of service" numFmtId="0">
      <sharedItems/>
    </cacheField>
    <cacheField name="How satisfied were you with the following?.Pricing" numFmtId="0">
      <sharedItems/>
    </cacheField>
    <cacheField name="Most important choice when choosing a restaurant?" numFmtId="0">
      <sharedItems/>
    </cacheField>
    <cacheField name="How likely are you to recommend this restaurant to a friend or family member?" numFmtId="0">
      <sharedItems containsSemiMixedTypes="0" containsString="0" containsNumber="1" containsInteger="1" minValue="1" maxValue="9"/>
    </cacheField>
    <cacheField name="Which Loyalty Program would interest you? (Pick up to 3)" numFmtId="0">
      <sharedItems count="5">
        <s v="None, this place STINKS;"/>
        <s v="Earning points towards free meals;Discounts on future purchases;"/>
        <s v="Birthday Rewards;Coupons or deals (BOGO);Discounts on future purchases;"/>
        <s v="Members-only promotions;Coupons or deals (BOGO);Earning points towards free meals;"/>
        <s v="Earning points towards free meals;Coupons or deals (BOGO);Members-only promotions;"/>
      </sharedItems>
    </cacheField>
    <cacheField name="Any feedback for us or anything we could do to improve your experience?" numFmtId="0">
      <sharedItems containsBlank="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1.6426244213" createdVersion="8" refreshedVersion="8" minRefreshableVersion="3" recordCount="4" xr:uid="{52B06EB2-1865-4668-BC48-C3D70E595F86}">
  <cacheSource type="worksheet">
    <worksheetSource ref="O25:P29" sheet="Sheet1"/>
  </cacheSource>
  <cacheFields count="2">
    <cacheField name="Earning points towards free meals" numFmtId="0">
      <sharedItems count="4">
        <s v="Birthday Rewards"/>
        <s v="Discounts"/>
        <s v="Coupons or Deals"/>
        <s v="Members-only promos"/>
      </sharedItems>
    </cacheField>
    <cacheField name="3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d v="2026-10-14T20:52:24"/>
    <d v="2026-10-14T20:55:37"/>
    <d v="1899-12-30T00:03:13"/>
    <s v="gabidemi@my.yearupunited.org"/>
    <x v="0"/>
    <s v="First visit"/>
    <x v="0"/>
    <s v="Dissatisfied"/>
    <s v="Very Dissatisfied"/>
    <s v="Dissatisfied"/>
    <s v="Dissatisfied"/>
    <s v="Very Dissatisfied"/>
    <s v="Pricing"/>
    <n v="1"/>
    <x v="0"/>
    <s v="Why were there flies hovering around my food!"/>
  </r>
  <r>
    <x v="1"/>
    <d v="2026-10-15T14:26:01"/>
    <d v="2026-10-15T14:26:46"/>
    <d v="1899-12-30T00:00:45"/>
    <s v="amrapshtija@my.yearupunited.org"/>
    <x v="1"/>
    <s v="Once a week"/>
    <x v="1"/>
    <s v="Dissatisfied"/>
    <s v="Neutral"/>
    <s v="Satisfied"/>
    <s v="Very Dissatisfied"/>
    <s v="Neutral"/>
    <s v="Food Quality"/>
    <n v="4"/>
    <x v="1"/>
    <m/>
  </r>
  <r>
    <x v="2"/>
    <d v="2026-10-15T14:45:13"/>
    <d v="2026-10-15T14:47:45"/>
    <d v="1899-12-30T00:02:32"/>
    <s v="ilee@my.yearupunited.org"/>
    <x v="2"/>
    <s v="First visit"/>
    <x v="2"/>
    <s v="Very Satisfied"/>
    <s v="Satisfied"/>
    <s v="Very Satisfied"/>
    <s v="Very Satisfied"/>
    <s v="Dissatisfied"/>
    <s v="Food Quality"/>
    <n v="7"/>
    <x v="2"/>
    <m/>
  </r>
  <r>
    <x v="3"/>
    <d v="2026-10-16T11:13:50"/>
    <d v="2026-10-16T11:14:49"/>
    <d v="1899-12-30T00:00:59"/>
    <s v="tstaana@my.yearupunited.org"/>
    <x v="3"/>
    <s v="Occasionally"/>
    <x v="1"/>
    <s v="Very Satisfied"/>
    <s v="Very Satisfied"/>
    <s v="Very Satisfied"/>
    <s v="Satisfied"/>
    <s v="Satisfied"/>
    <s v="Food Quality"/>
    <n v="8"/>
    <x v="3"/>
    <m/>
  </r>
  <r>
    <x v="4"/>
    <d v="2026-10-16T11:13:14"/>
    <d v="2026-10-16T11:15:12"/>
    <d v="1899-12-30T00:01:58"/>
    <s v="alewis3@my.yearupunited.org"/>
    <x v="4"/>
    <s v="Once a week"/>
    <x v="1"/>
    <s v="Satisfied"/>
    <s v="Very Satisfied"/>
    <s v="Very Satisfied"/>
    <s v="Neutral"/>
    <s v="Satisfied"/>
    <s v="Food Quality"/>
    <n v="9"/>
    <x v="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A2D6A-15EA-4DF9-856B-4B075BA6C58C}" name="PivotTable2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7:C34" firstHeaderRow="1" firstDataRow="1" firstDataCol="0"/>
  <pivotFields count="2">
    <pivotField compact="0" outline="0" showAll="0">
      <items count="5">
        <item x="0"/>
        <item x="2"/>
        <item x="1"/>
        <item x="3"/>
        <item t="default"/>
      </items>
    </pivotField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B1C44-826D-4BB4-B1C5-C573A4D68373}" name="PivotTable1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6" firstHeaderRow="1" firstDataRow="1" firstDataCol="1"/>
  <pivotFields count="17">
    <pivotField compact="0" outline="0" showAll="0">
      <items count="6">
        <item x="0"/>
        <item x="1"/>
        <item x="2"/>
        <item x="3"/>
        <item x="4"/>
        <item t="default"/>
      </items>
    </pivotField>
    <pivotField compact="0" numFmtId="164" outline="0" showAll="0"/>
    <pivotField compact="0" numFmtId="164" outline="0" showAll="0"/>
    <pivotField compact="0" numFmtId="45" outline="0" showAll="0"/>
    <pivotField compact="0" outline="0" showAll="0"/>
    <pivotField dataField="1" compact="0" outline="0" showAll="0">
      <items count="6">
        <item x="4"/>
        <item x="1"/>
        <item x="0"/>
        <item x="2"/>
        <item x="3"/>
        <item t="default"/>
      </items>
    </pivotField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2"/>
        <item x="4"/>
        <item x="1"/>
        <item x="3"/>
        <item x="0"/>
        <item t="default"/>
      </items>
    </pivotField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Nam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Q6" totalsRowShown="0">
  <autoFilter ref="A1:Q6" xr:uid="{00000000-0009-0000-0100-000001000000}"/>
  <tableColumns count="17">
    <tableColumn id="1" xr3:uid="{00000000-0010-0000-0000-000001000000}" name="Id" dataDxfId="1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 dataDxfId="15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 dataDxfId="14">
      <extLst>
        <ext xmlns:xlmsforms="http://schemas.microsoft.com/office/spreadsheetml/2023/msForms" uri="{FCC71383-01E1-4257-9335-427F07BE8D7F}">
          <xlmsforms:question id="submitDate"/>
        </ext>
      </extLst>
    </tableColumn>
    <tableColumn id="17" xr3:uid="{029E1266-F0E5-452B-9E78-EB7CBECF53CE}" name="Time to complete" dataDxfId="13">
      <calculatedColumnFormula>C2 - B2</calculatedColumnFormula>
    </tableColumn>
    <tableColumn id="4" xr3:uid="{00000000-0010-0000-0000-000004000000}" name="Email" dataDxfId="1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often do you visit us?" dataDxfId="10">
      <extLst>
        <ext xmlns:xlmsforms="http://schemas.microsoft.com/office/spreadsheetml/2023/msForms" uri="{FCC71383-01E1-4257-9335-427F07BE8D7F}">
          <xlmsforms:question id="rbcf97fcfafb7431d898a1bbca36eb844"/>
        </ext>
      </extLst>
    </tableColumn>
    <tableColumn id="7" xr3:uid="{00000000-0010-0000-0000-000007000000}" name="How satisfied are you with your experience today?" dataDxfId="9">
      <extLst>
        <ext xmlns:xlmsforms="http://schemas.microsoft.com/office/spreadsheetml/2023/msForms" uri="{FCC71383-01E1-4257-9335-427F07BE8D7F}">
          <xlmsforms:question id="r4920467a5f8141ffa3752e146091e7f4"/>
        </ext>
      </extLst>
    </tableColumn>
    <tableColumn id="8" xr3:uid="{00000000-0010-0000-0000-000008000000}" name="How satisfied were you with the following?.Food quality" dataDxfId="8">
      <extLst>
        <ext xmlns:xlmsforms="http://schemas.microsoft.com/office/spreadsheetml/2023/msForms" uri="{FCC71383-01E1-4257-9335-427F07BE8D7F}">
          <xlmsforms:question id="re6be5c35bae8450398dbcfbb09d6ad8c"/>
        </ext>
      </extLst>
    </tableColumn>
    <tableColumn id="9" xr3:uid="{00000000-0010-0000-0000-000009000000}" name="How satisfied were you with the following?.Staff friendliness and helpfulness" dataDxfId="7">
      <extLst>
        <ext xmlns:xlmsforms="http://schemas.microsoft.com/office/spreadsheetml/2023/msForms" uri="{FCC71383-01E1-4257-9335-427F07BE8D7F}">
          <xlmsforms:question id="r7ba0b8ea376c47c985503157abb5b9a4"/>
        </ext>
      </extLst>
    </tableColumn>
    <tableColumn id="10" xr3:uid="{00000000-0010-0000-0000-00000A000000}" name="How satisfied were you with the following?.Cleanliness" dataDxfId="6">
      <extLst>
        <ext xmlns:xlmsforms="http://schemas.microsoft.com/office/spreadsheetml/2023/msForms" uri="{FCC71383-01E1-4257-9335-427F07BE8D7F}">
          <xlmsforms:question id="r2ab5935abd2d463386d3dea79d089ce4"/>
        </ext>
      </extLst>
    </tableColumn>
    <tableColumn id="11" xr3:uid="{00000000-0010-0000-0000-00000B000000}" name="How satisfied were you with the following?.Speed of service" dataDxfId="5">
      <extLst>
        <ext xmlns:xlmsforms="http://schemas.microsoft.com/office/spreadsheetml/2023/msForms" uri="{FCC71383-01E1-4257-9335-427F07BE8D7F}">
          <xlmsforms:question id="rac6d796ce7c64d0e826c2ead89aa3a89"/>
        </ext>
      </extLst>
    </tableColumn>
    <tableColumn id="12" xr3:uid="{00000000-0010-0000-0000-00000C000000}" name="How satisfied were you with the following?.Pricing" dataDxfId="4">
      <extLst>
        <ext xmlns:xlmsforms="http://schemas.microsoft.com/office/spreadsheetml/2023/msForms" uri="{FCC71383-01E1-4257-9335-427F07BE8D7F}">
          <xlmsforms:question id="r1c97d3804b5c4df48e9bef3bd36d58b0"/>
        </ext>
      </extLst>
    </tableColumn>
    <tableColumn id="13" xr3:uid="{00000000-0010-0000-0000-00000D000000}" name="Most important choice when choosing a restaurant?" dataDxfId="3">
      <extLst>
        <ext xmlns:xlmsforms="http://schemas.microsoft.com/office/spreadsheetml/2023/msForms" uri="{FCC71383-01E1-4257-9335-427F07BE8D7F}">
          <xlmsforms:question id="rc7b10caed0f64e2f82fc805e61b2d80c"/>
        </ext>
      </extLst>
    </tableColumn>
    <tableColumn id="14" xr3:uid="{00000000-0010-0000-0000-00000E000000}" name="How likely are you to recommend this restaurant to a friend or family member?" dataDxfId="2">
      <extLst>
        <ext xmlns:xlmsforms="http://schemas.microsoft.com/office/spreadsheetml/2023/msForms" uri="{FCC71383-01E1-4257-9335-427F07BE8D7F}">
          <xlmsforms:question id="r35a13b1e1112400fb1db1fabe06b25cc"/>
        </ext>
      </extLst>
    </tableColumn>
    <tableColumn id="15" xr3:uid="{00000000-0010-0000-0000-00000F000000}" name="Which Loyalty Program would interest you? (Pick up to 3)" dataDxfId="1">
      <extLst>
        <ext xmlns:xlmsforms="http://schemas.microsoft.com/office/spreadsheetml/2023/msForms" uri="{FCC71383-01E1-4257-9335-427F07BE8D7F}">
          <xlmsforms:question id="rb1084afe5282434e9d6707262c2639ed"/>
        </ext>
      </extLst>
    </tableColumn>
    <tableColumn id="16" xr3:uid="{00000000-0010-0000-0000-000010000000}" name="Any feedback for us or anything we could do to improve your experience?" dataDxfId="0">
      <extLst>
        <ext xmlns:xlmsforms="http://schemas.microsoft.com/office/spreadsheetml/2023/msForms" uri="{FCC71383-01E1-4257-9335-427F07BE8D7F}">
          <xlmsforms:question id="r2fed728e8a234cc5a783cebc85a9edd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5uJQgU128BLhNMOvqdz4P5UOFVNU0Y5VkNPOUZMWk9OTFBKWU0wQUtJNi4u" isFormConnected="1" maxResponseId="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rbcf97fcfafb7431d898a1bbca36eb844</xlmsforms:syncedQuestionId>
        <xlmsforms:syncedQuestionId>r4920467a5f8141ffa3752e146091e7f4</xlmsforms:syncedQuestionId>
        <xlmsforms:syncedQuestionId>re6be5c35bae8450398dbcfbb09d6ad8c</xlmsforms:syncedQuestionId>
        <xlmsforms:syncedQuestionId>r7ba0b8ea376c47c985503157abb5b9a4</xlmsforms:syncedQuestionId>
        <xlmsforms:syncedQuestionId>r2ab5935abd2d463386d3dea79d089ce4</xlmsforms:syncedQuestionId>
        <xlmsforms:syncedQuestionId>rac6d796ce7c64d0e826c2ead89aa3a89</xlmsforms:syncedQuestionId>
        <xlmsforms:syncedQuestionId>r1c97d3804b5c4df48e9bef3bd36d58b0</xlmsforms:syncedQuestionId>
        <xlmsforms:syncedQuestionId>rc7b10caed0f64e2f82fc805e61b2d80c</xlmsforms:syncedQuestionId>
        <xlmsforms:syncedQuestionId>r35a13b1e1112400fb1db1fabe06b25cc</xlmsforms:syncedQuestionId>
        <xlmsforms:syncedQuestionId>rb1084afe5282434e9d6707262c2639ed</xlmsforms:syncedQuestionId>
        <xlmsforms:syncedQuestionId>r2fed728e8a234cc5a783cebc85a9edd2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opLeftCell="I10" workbookViewId="0">
      <selection activeCell="O25" sqref="O25:P29"/>
    </sheetView>
  </sheetViews>
  <sheetFormatPr defaultRowHeight="15"/>
  <cols>
    <col min="1" max="1" width="5.140625" bestFit="1" customWidth="1"/>
    <col min="2" max="2" width="19.85546875" style="2" bestFit="1" customWidth="1"/>
    <col min="3" max="3" width="19.85546875" bestFit="1" customWidth="1"/>
    <col min="4" max="4" width="19.140625" style="3" bestFit="1" customWidth="1"/>
    <col min="5" max="5" width="20" bestFit="1" customWidth="1"/>
    <col min="6" max="6" width="16.85546875" bestFit="1" customWidth="1"/>
    <col min="7" max="7" width="20" bestFit="1" customWidth="1"/>
    <col min="8" max="8" width="8" customWidth="1"/>
    <col min="9" max="9" width="15.42578125" customWidth="1"/>
    <col min="10" max="10" width="14.85546875" customWidth="1"/>
    <col min="11" max="11" width="13.42578125" customWidth="1"/>
    <col min="12" max="12" width="15.7109375" customWidth="1"/>
    <col min="13" max="13" width="16.42578125" customWidth="1"/>
    <col min="14" max="14" width="13.28515625" customWidth="1"/>
    <col min="15" max="15" width="20.42578125" customWidth="1"/>
    <col min="16" max="16" width="23.85546875" customWidth="1"/>
    <col min="17" max="17" width="66.85546875" customWidth="1"/>
  </cols>
  <sheetData>
    <row r="1" spans="1:17">
      <c r="A1" t="s">
        <v>0</v>
      </c>
      <c r="B1" s="2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s="2">
        <v>46309.869722222225</v>
      </c>
      <c r="C2" s="2">
        <v>46309.87195601852</v>
      </c>
      <c r="D2" s="3">
        <f t="shared" ref="D2:D6" si="0">C2 - B2</f>
        <v>2.2337962946039625E-3</v>
      </c>
      <c r="E2" t="s">
        <v>17</v>
      </c>
      <c r="F2" t="s">
        <v>18</v>
      </c>
      <c r="G2" t="s">
        <v>19</v>
      </c>
      <c r="H2">
        <v>1</v>
      </c>
      <c r="I2" t="s">
        <v>20</v>
      </c>
      <c r="J2" t="s">
        <v>21</v>
      </c>
      <c r="K2" t="s">
        <v>20</v>
      </c>
      <c r="L2" t="s">
        <v>20</v>
      </c>
      <c r="M2" t="s">
        <v>21</v>
      </c>
      <c r="N2" t="s">
        <v>22</v>
      </c>
      <c r="O2">
        <v>1</v>
      </c>
      <c r="P2" t="s">
        <v>23</v>
      </c>
      <c r="Q2" t="s">
        <v>24</v>
      </c>
    </row>
    <row r="3" spans="1:17">
      <c r="A3">
        <v>2</v>
      </c>
      <c r="B3" s="2">
        <v>46310.601400462961</v>
      </c>
      <c r="C3" s="2">
        <v>46310.601921296293</v>
      </c>
      <c r="D3" s="3">
        <f t="shared" si="0"/>
        <v>5.2083333139307797E-4</v>
      </c>
      <c r="E3" t="s">
        <v>25</v>
      </c>
      <c r="F3" t="s">
        <v>26</v>
      </c>
      <c r="G3" t="s">
        <v>27</v>
      </c>
      <c r="H3">
        <v>5</v>
      </c>
      <c r="I3" t="s">
        <v>20</v>
      </c>
      <c r="J3" t="s">
        <v>28</v>
      </c>
      <c r="K3" t="s">
        <v>29</v>
      </c>
      <c r="L3" t="s">
        <v>21</v>
      </c>
      <c r="M3" t="s">
        <v>28</v>
      </c>
      <c r="N3" t="s">
        <v>30</v>
      </c>
      <c r="O3">
        <v>4</v>
      </c>
      <c r="P3" t="s">
        <v>31</v>
      </c>
    </row>
    <row r="4" spans="1:17">
      <c r="A4">
        <v>3</v>
      </c>
      <c r="B4" s="2">
        <v>46310.614733796298</v>
      </c>
      <c r="C4" s="2">
        <v>46310.616493055553</v>
      </c>
      <c r="D4" s="3">
        <f t="shared" si="0"/>
        <v>1.7592592557775788E-3</v>
      </c>
      <c r="E4" t="s">
        <v>32</v>
      </c>
      <c r="F4" t="s">
        <v>33</v>
      </c>
      <c r="G4" t="s">
        <v>19</v>
      </c>
      <c r="H4">
        <v>4</v>
      </c>
      <c r="I4" t="s">
        <v>34</v>
      </c>
      <c r="J4" t="s">
        <v>29</v>
      </c>
      <c r="K4" t="s">
        <v>34</v>
      </c>
      <c r="L4" t="s">
        <v>34</v>
      </c>
      <c r="M4" t="s">
        <v>20</v>
      </c>
      <c r="N4" t="s">
        <v>30</v>
      </c>
      <c r="O4">
        <v>7</v>
      </c>
      <c r="P4" t="s">
        <v>35</v>
      </c>
    </row>
    <row r="5" spans="1:17">
      <c r="A5">
        <v>4</v>
      </c>
      <c r="B5" s="2">
        <v>46311.467939814815</v>
      </c>
      <c r="C5" s="2">
        <v>46311.468622685185</v>
      </c>
      <c r="D5" s="3">
        <f t="shared" si="0"/>
        <v>6.8287036992842332E-4</v>
      </c>
      <c r="E5" t="s">
        <v>36</v>
      </c>
      <c r="F5" t="s">
        <v>37</v>
      </c>
      <c r="G5" t="s">
        <v>38</v>
      </c>
      <c r="H5">
        <v>5</v>
      </c>
      <c r="I5" t="s">
        <v>34</v>
      </c>
      <c r="J5" t="s">
        <v>34</v>
      </c>
      <c r="K5" t="s">
        <v>34</v>
      </c>
      <c r="L5" t="s">
        <v>29</v>
      </c>
      <c r="M5" t="s">
        <v>29</v>
      </c>
      <c r="N5" t="s">
        <v>30</v>
      </c>
      <c r="O5">
        <v>8</v>
      </c>
      <c r="P5" t="s">
        <v>39</v>
      </c>
    </row>
    <row r="6" spans="1:17">
      <c r="A6">
        <v>5</v>
      </c>
      <c r="B6" s="2">
        <v>46311.467523148145</v>
      </c>
      <c r="C6" s="2">
        <v>46311.468888888892</v>
      </c>
      <c r="D6" s="3">
        <f t="shared" si="0"/>
        <v>1.3657407471328042E-3</v>
      </c>
      <c r="E6" t="s">
        <v>40</v>
      </c>
      <c r="F6" t="s">
        <v>41</v>
      </c>
      <c r="G6" t="s">
        <v>27</v>
      </c>
      <c r="H6">
        <v>5</v>
      </c>
      <c r="I6" t="s">
        <v>29</v>
      </c>
      <c r="J6" t="s">
        <v>34</v>
      </c>
      <c r="K6" t="s">
        <v>34</v>
      </c>
      <c r="L6" t="s">
        <v>28</v>
      </c>
      <c r="M6" t="s">
        <v>29</v>
      </c>
      <c r="N6" t="s">
        <v>30</v>
      </c>
      <c r="O6">
        <v>9</v>
      </c>
      <c r="P6" t="s">
        <v>42</v>
      </c>
    </row>
    <row r="22" spans="4:16">
      <c r="D22" s="3">
        <f>AVERAGE(D2:D21)</f>
        <v>1.3124999997671694E-3</v>
      </c>
      <c r="H22">
        <f>AVERAGE(H2:H21)</f>
        <v>4</v>
      </c>
      <c r="I22" s="4">
        <f>SUM(COUNTIF(I2:I21,"Satisfied"),COUNTIF(I2:I21,"Very Satisfied"))</f>
        <v>3</v>
      </c>
      <c r="J22" s="4">
        <f t="shared" ref="J22:M22" si="1">SUM(COUNTIF(J2:J21,"Satisfied"),COUNTIF(J2:J21,"Very Satisfied"))</f>
        <v>3</v>
      </c>
      <c r="K22" s="4">
        <f t="shared" si="1"/>
        <v>4</v>
      </c>
      <c r="L22" s="4">
        <f t="shared" si="1"/>
        <v>2</v>
      </c>
      <c r="M22" s="4">
        <f t="shared" si="1"/>
        <v>2</v>
      </c>
      <c r="O22">
        <f>AVERAGE(O2:O21)</f>
        <v>5.8</v>
      </c>
    </row>
    <row r="23" spans="4:16">
      <c r="I23" s="4"/>
      <c r="J23" s="4"/>
      <c r="K23" s="4"/>
      <c r="L23" s="4"/>
      <c r="M23" s="4"/>
    </row>
    <row r="24" spans="4:16">
      <c r="M24" t="s">
        <v>22</v>
      </c>
      <c r="N24">
        <f>COUNTIF(N2:N21, "Pricing")</f>
        <v>1</v>
      </c>
    </row>
    <row r="25" spans="4:16">
      <c r="M25" t="s">
        <v>30</v>
      </c>
      <c r="N25">
        <f>COUNTIF(N2:N21, M25)</f>
        <v>4</v>
      </c>
      <c r="O25" t="s">
        <v>43</v>
      </c>
      <c r="P25">
        <f>COUNTIF(P2:P21, "*Earning points towards free meals*")</f>
        <v>3</v>
      </c>
    </row>
    <row r="26" spans="4:16">
      <c r="M26" t="s">
        <v>44</v>
      </c>
      <c r="N26">
        <f>COUNTIF(N2:N21, M26)</f>
        <v>0</v>
      </c>
      <c r="O26" t="s">
        <v>45</v>
      </c>
      <c r="P26">
        <f>COUNTIF(P2:P21, "*Birthday Rewards*")</f>
        <v>1</v>
      </c>
    </row>
    <row r="27" spans="4:16">
      <c r="M27" t="s">
        <v>46</v>
      </c>
      <c r="N27">
        <f>COUNTIF(N2:N21, M27)</f>
        <v>0</v>
      </c>
      <c r="O27" t="s">
        <v>47</v>
      </c>
      <c r="P27">
        <f>COUNTIF(P2:P21, "*Discounts on future purchases*")</f>
        <v>2</v>
      </c>
    </row>
    <row r="28" spans="4:16">
      <c r="M28" t="s">
        <v>48</v>
      </c>
      <c r="N28">
        <f>COUNTIF(N2:N21, M28)</f>
        <v>0</v>
      </c>
      <c r="O28" t="s">
        <v>49</v>
      </c>
      <c r="P28">
        <f>COUNTIF(P2:P21, "*Coupons or deals (BOGO)*")</f>
        <v>3</v>
      </c>
    </row>
    <row r="29" spans="4:16">
      <c r="M29" t="s">
        <v>50</v>
      </c>
      <c r="N29">
        <f>COUNTIF(N2:N21, M29)</f>
        <v>0</v>
      </c>
      <c r="O29" t="s">
        <v>51</v>
      </c>
      <c r="P29">
        <f>COUNTIF(P2:P21, "*Members-only promotions*")</f>
        <v>2</v>
      </c>
    </row>
    <row r="30" spans="4:16">
      <c r="M30" t="s">
        <v>52</v>
      </c>
      <c r="N30">
        <f>COUNTIF(N2:N21, M30)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4894-EED4-497B-9B70-C1E6D20F4721}">
  <dimension ref="A2:C34"/>
  <sheetViews>
    <sheetView tabSelected="1" workbookViewId="0">
      <selection activeCell="A17" sqref="A17:C34"/>
    </sheetView>
  </sheetViews>
  <sheetFormatPr defaultRowHeight="15"/>
  <cols>
    <col min="1" max="1" width="35.42578125" bestFit="1" customWidth="1"/>
    <col min="2" max="2" width="9" bestFit="1" customWidth="1"/>
    <col min="3" max="3" width="62.140625" bestFit="1" customWidth="1"/>
    <col min="4" max="4" width="82.28515625" bestFit="1" customWidth="1"/>
    <col min="5" max="5" width="61.42578125" bestFit="1" customWidth="1"/>
    <col min="6" max="6" width="82.28515625" bestFit="1" customWidth="1"/>
    <col min="7" max="7" width="23.140625" bestFit="1" customWidth="1"/>
    <col min="8" max="8" width="11.7109375" bestFit="1" customWidth="1"/>
  </cols>
  <sheetData>
    <row r="2" spans="1:2">
      <c r="A2" s="14" t="s">
        <v>7</v>
      </c>
      <c r="B2" t="s">
        <v>53</v>
      </c>
    </row>
    <row r="3" spans="1:2">
      <c r="A3">
        <v>1</v>
      </c>
      <c r="B3" s="1">
        <v>1</v>
      </c>
    </row>
    <row r="4" spans="1:2">
      <c r="A4">
        <v>4</v>
      </c>
      <c r="B4" s="1">
        <v>1</v>
      </c>
    </row>
    <row r="5" spans="1:2">
      <c r="A5">
        <v>5</v>
      </c>
      <c r="B5" s="1">
        <v>3</v>
      </c>
    </row>
    <row r="6" spans="1:2">
      <c r="A6" t="s">
        <v>54</v>
      </c>
      <c r="B6" s="1">
        <v>5</v>
      </c>
    </row>
    <row r="17" spans="1:3">
      <c r="A17" s="5"/>
      <c r="B17" s="6"/>
      <c r="C17" s="7"/>
    </row>
    <row r="18" spans="1:3">
      <c r="A18" s="8"/>
      <c r="B18" s="9"/>
      <c r="C18" s="10"/>
    </row>
    <row r="19" spans="1:3">
      <c r="A19" s="8"/>
      <c r="B19" s="9"/>
      <c r="C19" s="10"/>
    </row>
    <row r="20" spans="1:3">
      <c r="A20" s="8"/>
      <c r="B20" s="9"/>
      <c r="C20" s="10"/>
    </row>
    <row r="21" spans="1:3">
      <c r="A21" s="8"/>
      <c r="B21" s="9"/>
      <c r="C21" s="10"/>
    </row>
    <row r="22" spans="1:3">
      <c r="A22" s="8"/>
      <c r="B22" s="9"/>
      <c r="C22" s="10"/>
    </row>
    <row r="23" spans="1:3">
      <c r="A23" s="8"/>
      <c r="B23" s="9"/>
      <c r="C23" s="10"/>
    </row>
    <row r="24" spans="1:3">
      <c r="A24" s="8"/>
      <c r="B24" s="9"/>
      <c r="C24" s="10"/>
    </row>
    <row r="25" spans="1:3">
      <c r="A25" s="8"/>
      <c r="B25" s="9"/>
      <c r="C25" s="10"/>
    </row>
    <row r="26" spans="1:3">
      <c r="A26" s="8"/>
      <c r="B26" s="9"/>
      <c r="C26" s="10"/>
    </row>
    <row r="27" spans="1:3">
      <c r="A27" s="8"/>
      <c r="B27" s="9"/>
      <c r="C27" s="10"/>
    </row>
    <row r="28" spans="1:3">
      <c r="A28" s="8"/>
      <c r="B28" s="9"/>
      <c r="C28" s="10"/>
    </row>
    <row r="29" spans="1:3">
      <c r="A29" s="8"/>
      <c r="B29" s="9"/>
      <c r="C29" s="10"/>
    </row>
    <row r="30" spans="1:3">
      <c r="A30" s="8"/>
      <c r="B30" s="9"/>
      <c r="C30" s="10"/>
    </row>
    <row r="31" spans="1:3">
      <c r="A31" s="8"/>
      <c r="B31" s="9"/>
      <c r="C31" s="10"/>
    </row>
    <row r="32" spans="1:3">
      <c r="A32" s="8"/>
      <c r="B32" s="9"/>
      <c r="C32" s="10"/>
    </row>
    <row r="33" spans="1:3">
      <c r="A33" s="8"/>
      <c r="B33" s="9"/>
      <c r="C33" s="10"/>
    </row>
    <row r="34" spans="1:3">
      <c r="A34" s="11"/>
      <c r="B34" s="12"/>
      <c r="C34" s="13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christopher springer</cp:lastModifiedBy>
  <cp:revision/>
  <dcterms:created xsi:type="dcterms:W3CDTF">2026-10-16T18:15:19Z</dcterms:created>
  <dcterms:modified xsi:type="dcterms:W3CDTF">2026-10-16T19:25:54Z</dcterms:modified>
  <cp:category/>
  <cp:contentStatus/>
</cp:coreProperties>
</file>